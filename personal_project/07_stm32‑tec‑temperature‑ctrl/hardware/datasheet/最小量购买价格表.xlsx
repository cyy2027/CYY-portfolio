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完整工程备份\恒温器\说明文档\"/>
    </mc:Choice>
  </mc:AlternateContent>
  <xr:revisionPtr revIDLastSave="0" documentId="13_ncr:1_{8FDB9C4C-FB6F-431D-B1E8-1E7A681A87FD}" xr6:coauthVersionLast="47" xr6:coauthVersionMax="47" xr10:uidLastSave="{00000000-0000-0000-0000-000000000000}"/>
  <bookViews>
    <workbookView xWindow="-108" yWindow="-108" windowWidth="23256" windowHeight="12576" activeTab="3" xr2:uid="{A2294985-017F-4A83-AC32-EB23B1B9A74E}"/>
  </bookViews>
  <sheets>
    <sheet name="非芯片类46.57" sheetId="1" r:id="rId1"/>
    <sheet name="淘宝芯片类12.15" sheetId="3" r:id="rId2"/>
    <sheet name="嘉立创芯片21.5" sheetId="4" r:id="rId3"/>
    <sheet name="总价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A1" i="5" s="1"/>
  <c r="A5" i="5" s="1"/>
  <c r="A4" i="5"/>
  <c r="A3" i="5"/>
  <c r="B7" i="3"/>
  <c r="A40" i="4"/>
</calcChain>
</file>

<file path=xl/sharedStrings.xml><?xml version="1.0" encoding="utf-8"?>
<sst xmlns="http://schemas.openxmlformats.org/spreadsheetml/2006/main" count="184" uniqueCount="175">
  <si>
    <t>TEC</t>
    <phoneticPr fontId="1" type="noConversion"/>
  </si>
  <si>
    <t>https://detail.tmall.com/item.htm?from=cart&amp;id=638526313070&amp;mi_id=0000EiW_HrWq4Aitvy7UlWkUd3mO6fhv1GiKEQfvBBx5KGM&amp;skuId=5423460206373&amp;spm=a1z0d.6639537%2F202410.item.d638526313070.37fc7484l9NAa1&amp;upStreamPrice=762</t>
    <phoneticPr fontId="1" type="noConversion"/>
  </si>
  <si>
    <t>物品</t>
    <phoneticPr fontId="1" type="noConversion"/>
  </si>
  <si>
    <t>最小量单价</t>
    <phoneticPr fontId="1" type="noConversion"/>
  </si>
  <si>
    <t>型号</t>
    <phoneticPr fontId="1" type="noConversion"/>
  </si>
  <si>
    <t>备注</t>
    <phoneticPr fontId="1" type="noConversion"/>
  </si>
  <si>
    <t>12706普通款</t>
    <phoneticPr fontId="1" type="noConversion"/>
  </si>
  <si>
    <t>来源</t>
    <phoneticPr fontId="1" type="noConversion"/>
  </si>
  <si>
    <t>https://item.taobao.com/item.htm?id=930159938449&amp;mi_id=0000KdnbE7y0JEIFt_wQPNsan6fqfvYet7-YeuGESdcuLq4&amp;skuId=5814795480951&amp;spm=tbpc.mytb_itemcollect.item.goods&amp;upStreamPrice=420</t>
    <phoneticPr fontId="1" type="noConversion"/>
  </si>
  <si>
    <t>40X40X100</t>
    <phoneticPr fontId="1" type="noConversion"/>
  </si>
  <si>
    <t>40MM</t>
    <phoneticPr fontId="1" type="noConversion"/>
  </si>
  <si>
    <t>散热片</t>
    <phoneticPr fontId="1" type="noConversion"/>
  </si>
  <si>
    <t>https://item.taobao.com/item.htm?id=817689308590&amp;mi_id=00009pvnRai6X6E-fS8p_G-BAtO-cNJjDCP9FmUXvKAhuLs&amp;skuId=5519732409943&amp;spm=tbpc.boughtlist.suborder_itemtitle.1.4f452e8dRpvUf9</t>
    <phoneticPr fontId="1" type="noConversion"/>
  </si>
  <si>
    <t>无优惠价格</t>
    <phoneticPr fontId="1" type="noConversion"/>
  </si>
  <si>
    <t>PCB</t>
    <phoneticPr fontId="1" type="noConversion"/>
  </si>
  <si>
    <t>隔热棉</t>
    <phoneticPr fontId="1" type="noConversion"/>
  </si>
  <si>
    <t>https://item.taobao.com/item.htm?abbucket=7&amp;id=556419880454&amp;mi_id=0000Jb751xCgHzkRgP2Kh8SK1kWBY87muPMSEkKuARu0O3U&amp;ns=1&amp;priceTId=214782d917714230055887173e1b14&amp;spm=a21n57.1.hoverItem.1&amp;utparam=%7B%22aplus_abtest%22%3A%22614e008e959fa6f0e232d7b4e8c7a665%22%7D&amp;xxc=taobaoSearch</t>
    <phoneticPr fontId="1" type="noConversion"/>
  </si>
  <si>
    <t>腔体A</t>
    <phoneticPr fontId="1" type="noConversion"/>
  </si>
  <si>
    <t>腔体B</t>
    <phoneticPr fontId="1" type="noConversion"/>
  </si>
  <si>
    <t>磁吸钣金盖</t>
    <phoneticPr fontId="1" type="noConversion"/>
  </si>
  <si>
    <t>嘉立创或捷配，实际选择嘉立创</t>
    <phoneticPr fontId="1" type="noConversion"/>
  </si>
  <si>
    <t>嘉立创或铨洲，实际选择嘉立创</t>
  </si>
  <si>
    <t>嘉立创或铨洲，实际选择嘉立创</t>
    <phoneticPr fontId="1" type="noConversion"/>
  </si>
  <si>
    <t>需要嘉立创钣金20块无门槛卷</t>
    <phoneticPr fontId="1" type="noConversion"/>
  </si>
  <si>
    <t>21+5</t>
    <phoneticPr fontId="1" type="noConversion"/>
  </si>
  <si>
    <t>95+5</t>
    <phoneticPr fontId="1" type="noConversion"/>
  </si>
  <si>
    <t>TPS62135RGXR</t>
    <phoneticPr fontId="1" type="noConversion"/>
  </si>
  <si>
    <t>TEC电源芯片</t>
    <phoneticPr fontId="1" type="noConversion"/>
  </si>
  <si>
    <t>https://item.taobao.com/item.htm?spm=a1z0d.6639537%2F202410.item.d764851439426.7bd97484RdrUYn&amp;id=764851439426&amp;from=cart&amp;mi_id=00003V_HNkyUyFjjbOBNkwOWRCvIOz-Le_hkfIBHPasnmcY&amp;upStreamPrice=214</t>
    <phoneticPr fontId="1" type="noConversion"/>
  </si>
  <si>
    <t>磁铁</t>
    <phoneticPr fontId="1" type="noConversion"/>
  </si>
  <si>
    <t>https://item.taobao.com/item.htm?from=cart&amp;id=707261524755&amp;mi_id=0000u7f9xgYtTPvJEYeJiPZPiX6GFBe5s4IHr9zWzROeGvY&amp;skuId=5145206311999&amp;spm=a1z0d.6639537%2F202410.item.d707261524755.7bd974848RQPKW&amp;upStreamPrice=330</t>
    <phoneticPr fontId="1" type="noConversion"/>
  </si>
  <si>
    <t xml:space="preserve">价格是加上了优信电子运费 </t>
    <phoneticPr fontId="1" type="noConversion"/>
  </si>
  <si>
    <t>D10X3MM</t>
    <phoneticPr fontId="1" type="noConversion"/>
  </si>
  <si>
    <t xml:space="preserve">需要10个，价格是加上泰尔电子的运费 </t>
    <phoneticPr fontId="1" type="noConversion"/>
  </si>
  <si>
    <t>Quantity</t>
  </si>
  <si>
    <t>Designator</t>
  </si>
  <si>
    <t>Manufacturer Part</t>
  </si>
  <si>
    <t>C258</t>
  </si>
  <si>
    <t>C6075551,C6075591,C6075596,C6075597,C6075598,C6075605</t>
  </si>
  <si>
    <t>C6075578</t>
  </si>
  <si>
    <t>RV471M250F070R1Z00ZZ</t>
  </si>
  <si>
    <t>SMAJ15CA</t>
  </si>
  <si>
    <t>D5</t>
  </si>
  <si>
    <t>SSL54B</t>
  </si>
  <si>
    <t>D6</t>
  </si>
  <si>
    <t>C28646278</t>
  </si>
  <si>
    <t>DC-044B-25</t>
  </si>
  <si>
    <t>DC1</t>
  </si>
  <si>
    <t>C22435683</t>
  </si>
  <si>
    <t>PZ254V-11-04P</t>
  </si>
  <si>
    <t>C2691448</t>
  </si>
  <si>
    <t>C5142871</t>
  </si>
  <si>
    <t>TS1179S16050</t>
  </si>
  <si>
    <t>KEY2,KEY3</t>
  </si>
  <si>
    <t>C22375344</t>
  </si>
  <si>
    <t>UPZ1608E221-2R2TF</t>
  </si>
  <si>
    <t>L17</t>
  </si>
  <si>
    <t>GZ1608D601TF</t>
  </si>
  <si>
    <t>L18,L19,L20</t>
  </si>
  <si>
    <t>L21</t>
  </si>
  <si>
    <t>FXL0530-1R2-M</t>
  </si>
  <si>
    <t>L22</t>
  </si>
  <si>
    <t>SMMS0420-220M</t>
  </si>
  <si>
    <t>NCD0603B1</t>
  </si>
  <si>
    <t>LED4,LED7</t>
  </si>
  <si>
    <t>NCD0603R1</t>
  </si>
  <si>
    <t>LED8</t>
  </si>
  <si>
    <t>NCD0603G1</t>
  </si>
  <si>
    <t>LED9</t>
  </si>
  <si>
    <t>R152,R4237</t>
  </si>
  <si>
    <t>RT0603BRD0710KL</t>
  </si>
  <si>
    <t>C95204</t>
  </si>
  <si>
    <t>R4196,R4197,R4198,R4211,R4253,R4254</t>
  </si>
  <si>
    <t>0603WAF4701T5E</t>
  </si>
  <si>
    <t>C23162</t>
  </si>
  <si>
    <t>R4208</t>
  </si>
  <si>
    <t>FRC0603J103 TS</t>
  </si>
  <si>
    <t>C2930027</t>
  </si>
  <si>
    <t>R4224,R4245,R4246,R4247</t>
  </si>
  <si>
    <t>0603WAF1002T5E</t>
  </si>
  <si>
    <t>C25804</t>
  </si>
  <si>
    <t>R4238</t>
  </si>
  <si>
    <t>R4244</t>
  </si>
  <si>
    <t>0603WAF1000T5E</t>
  </si>
  <si>
    <t>C22775</t>
  </si>
  <si>
    <t>R4250,R4251</t>
  </si>
  <si>
    <t>0603WAF8452T5E</t>
  </si>
  <si>
    <t>C23118</t>
  </si>
  <si>
    <t>R4252</t>
  </si>
  <si>
    <t>0603WAF2201T5E</t>
  </si>
  <si>
    <t>C4190</t>
  </si>
  <si>
    <t>SIQ-02FVS3</t>
  </si>
  <si>
    <t>SW1</t>
  </si>
  <si>
    <t>SK6512SS3-33</t>
  </si>
  <si>
    <t>U215</t>
  </si>
  <si>
    <t>C5120323</t>
  </si>
  <si>
    <t>CP3119MDTR(XBLW)</t>
  </si>
  <si>
    <t>U219</t>
  </si>
  <si>
    <t>C42395499</t>
  </si>
  <si>
    <t>INA226AIDGSR</t>
  </si>
  <si>
    <t>MT52B103F3950F01000</t>
  </si>
  <si>
    <t>U235,U236,U237,U238</t>
  </si>
  <si>
    <t>U242</t>
  </si>
  <si>
    <t>TX4211</t>
  </si>
  <si>
    <t>U243</t>
  </si>
  <si>
    <t>C5440788</t>
  </si>
  <si>
    <t>蜂鸣器</t>
    <phoneticPr fontId="1" type="noConversion"/>
  </si>
  <si>
    <t>https://item.taobao.com/item.htm?id=555924156309&amp;pisk=ft7sGeMYkAD17UKt4sFEFa6k-wYb5OaPBjOAZs3ZMFL9Hj6dMC39XnhpvCAjWnp4jttf39xA7F5NdKBPhI7NushXM989mGJ2QKTfiTNUUzzPs1YDy8yzzq4cmY8oDIpx32dpZxV1ZuzPs1vDaMxTAzzb3cGScIBvXpLpMpdxBKBvJHdwpVdxWEpLOIYWlX43qA1Yd23IcSiPFQ3SjcbB9-vR16OHTw9pXLKpdqCFRCt6e1Qwg3AD9w7B4Hl41eClYOdBPPMk1MCWWI_0wm9XcNYBdTa-oBjOCwKf8S45TFOX2EKIMqCB7MKC5UU-dBjd_iQGCjgvsN7ycLxQMqx2Ja-R2OG0Z6L9MgRozLi10mGBqqOBUWNImmfVP1PFwBMQJhdHTaPQOAiDXBABUWNImmx9tB-UOWMsm&amp;spm=a1z10.3-c-s.w4002-24706531953.9.21006a4bqHuQsm</t>
    <phoneticPr fontId="1" type="noConversion"/>
  </si>
  <si>
    <t>优惠券后总价</t>
    <phoneticPr fontId="1" type="noConversion"/>
  </si>
  <si>
    <t>C200,C6075599,C6075600,C6075601，C248,C249,C250,C6075579</t>
    <phoneticPr fontId="1" type="noConversion"/>
  </si>
  <si>
    <t>C248,C249,C250,C6075579，C6075571</t>
    <phoneticPr fontId="1" type="noConversion"/>
  </si>
  <si>
    <t>C6075608</t>
    <phoneticPr fontId="1" type="noConversion"/>
  </si>
  <si>
    <t>C6075567,C6075568，C6075610，C6075611，C6075612</t>
    <phoneticPr fontId="1" type="noConversion"/>
  </si>
  <si>
    <t>同一厂家16-15或20-15</t>
    <phoneticPr fontId="1" type="noConversion"/>
  </si>
  <si>
    <t>C19077536</t>
    <phoneticPr fontId="1" type="noConversion"/>
  </si>
  <si>
    <t>C22466352</t>
    <phoneticPr fontId="1" type="noConversion"/>
  </si>
  <si>
    <t>D8</t>
    <phoneticPr fontId="1" type="noConversion"/>
  </si>
  <si>
    <t>C7420347</t>
    <phoneticPr fontId="1" type="noConversion"/>
  </si>
  <si>
    <t>HL2310A</t>
    <phoneticPr fontId="1" type="noConversion"/>
  </si>
  <si>
    <t>Q47,Q48,Q49</t>
    <phoneticPr fontId="1" type="noConversion"/>
  </si>
  <si>
    <t>C3000141</t>
    <phoneticPr fontId="1" type="noConversion"/>
  </si>
  <si>
    <t>C41430892</t>
    <phoneticPr fontId="1" type="noConversion"/>
  </si>
  <si>
    <t>C49164694</t>
    <phoneticPr fontId="1" type="noConversion"/>
  </si>
  <si>
    <t>JER2512F3R020</t>
    <phoneticPr fontId="1" type="noConversion"/>
  </si>
  <si>
    <t>R+O(宏嘉诚)16-15</t>
    <phoneticPr fontId="1" type="noConversion"/>
  </si>
  <si>
    <t>JIERR(捷而瑞)16-15</t>
    <phoneticPr fontId="1" type="noConversion"/>
  </si>
  <si>
    <t>C23377977</t>
    <phoneticPr fontId="1" type="noConversion"/>
  </si>
  <si>
    <t>Supplier Part</t>
    <phoneticPr fontId="1" type="noConversion"/>
  </si>
  <si>
    <t>XR(祥如)16-15</t>
    <phoneticPr fontId="1" type="noConversion"/>
  </si>
  <si>
    <t>实际使用MEIHUA(美华)16-15《国星光电现在只有新人16-15》</t>
    <phoneticPr fontId="1" type="noConversion"/>
  </si>
  <si>
    <t>C5307604</t>
    <phoneticPr fontId="1" type="noConversion"/>
  </si>
  <si>
    <t>C5339411</t>
    <phoneticPr fontId="1" type="noConversion"/>
  </si>
  <si>
    <t>HanElectricity(瀚源)16-15</t>
    <phoneticPr fontId="1" type="noConversion"/>
  </si>
  <si>
    <t>C541851</t>
  </si>
  <si>
    <t>PM254V-11-04-H85</t>
  </si>
  <si>
    <t>https://item.taobao.com/item.htm?abbucket=7&amp;id=637431490777&amp;mi_id=0000cbPXxB3dFX-5BgSb-tElPg4w6FogU7Du-_EfYdeRDpw&amp;ns=1&amp;spm=a21n57.1.hoverItem.5&amp;utparam=%7B%22aplus_abtest%22%3A%2241defbbe1026700f010fa5ec8e936068%22%7D&amp;xxc=taobaoSearch</t>
    <phoneticPr fontId="1" type="noConversion"/>
  </si>
  <si>
    <t>MCU</t>
    <phoneticPr fontId="1" type="noConversion"/>
  </si>
  <si>
    <t>STM32L031G6U6</t>
    <phoneticPr fontId="1" type="noConversion"/>
  </si>
  <si>
    <t xml:space="preserve">价格是加上了运费 </t>
    <phoneticPr fontId="1" type="noConversion"/>
  </si>
  <si>
    <t>https://item.taobao.com/item.htm?abbucket=7&amp;id=917616665599&amp;mi_id=0000A6fZYSIg_1yUChZk_zSWb0k36JObJhIG2ihaVkkVpcI&amp;ns=1&amp;priceTId=2147840017718270046777116e1908&amp;skuId=5786878297622&amp;spm=a21n57.1.hoverItem.6&amp;utparam=%7B%22aplus_abtest%22%3A%22b52263acd54cdd5c9202747e153cafc9%22%7D&amp;xxc=taobaoSearch</t>
    <phoneticPr fontId="1" type="noConversion"/>
  </si>
  <si>
    <t>蓝牙模块</t>
    <phoneticPr fontId="1" type="noConversion"/>
  </si>
  <si>
    <t>XY-MBO35A</t>
    <phoneticPr fontId="1" type="noConversion"/>
  </si>
  <si>
    <t>XBLW(芯伯乐)16-15</t>
    <phoneticPr fontId="1" type="noConversion"/>
  </si>
  <si>
    <t>suntek(洺太电子)16-15</t>
    <phoneticPr fontId="1" type="noConversion"/>
  </si>
  <si>
    <t>https://item.taobao.com/item.htm?abbucket=7&amp;id=594883479409&amp;mi_id=0000Kx1k5OfJTPEYHZxdXaPgS-xAcToRRZIQ5ZaOabCeDUQ&amp;ns=1&amp;priceTId=2147840017718271943076834e1908&amp;spm=a21n57.1.hoverItem.4&amp;utparam=%7B%22aplus_abtest%22%3A%22fdd1a25e98d345f12bbb982466e351a8%22%7D&amp;xxc=taobaoSearch</t>
    <phoneticPr fontId="1" type="noConversion"/>
  </si>
  <si>
    <t>功率计芯片</t>
    <phoneticPr fontId="1" type="noConversion"/>
  </si>
  <si>
    <t>STE(松田)16-15</t>
    <phoneticPr fontId="1" type="noConversion"/>
  </si>
  <si>
    <t>C2960681</t>
    <phoneticPr fontId="1" type="noConversion"/>
  </si>
  <si>
    <t>用捷而瑞的8.06K替代</t>
    <phoneticPr fontId="1" type="noConversion"/>
  </si>
  <si>
    <t>XDS(芯鼎盛)16-15</t>
    <phoneticPr fontId="1" type="noConversion"/>
  </si>
  <si>
    <t>C51026670</t>
    <phoneticPr fontId="1" type="noConversion"/>
  </si>
  <si>
    <t>CH(创慧电子)16-15</t>
    <phoneticPr fontId="1" type="noConversion"/>
  </si>
  <si>
    <t xml:space="preserve">生成底孔用，无需安装 </t>
    <phoneticPr fontId="1" type="noConversion"/>
  </si>
  <si>
    <t>CS-1109-1X4N2,3B(L12.0)</t>
    <phoneticPr fontId="1" type="noConversion"/>
  </si>
  <si>
    <t>H9,H10</t>
    <phoneticPr fontId="1" type="noConversion"/>
  </si>
  <si>
    <t>H12</t>
    <phoneticPr fontId="1" type="noConversion"/>
  </si>
  <si>
    <t>H11</t>
    <phoneticPr fontId="1" type="noConversion"/>
  </si>
  <si>
    <t>XFCN(兴飞)16-15</t>
    <phoneticPr fontId="1" type="noConversion"/>
  </si>
  <si>
    <t>总价</t>
    <phoneticPr fontId="1" type="noConversion"/>
  </si>
  <si>
    <t>https://item.taobao.com/item.htm?id=522556147374&amp;pisk=fVfiGX0U8OJsm5oMPJA_dbH57Sed1cOXfihvDIK4LH-I6id9MB-ekEn2ujJwY9b5mhUbCCBHmMSHbfU_CK-cfHIxMNCcdjb5l1U6MPO15IO42uF82N_6GCBVvCCiLe818A8w3kO3FIA42uFmp2J_XI79TDPKBp-Bof-qgi-ETExe7fRV0HJezElwgI88KvPeuu1zSLxo4c9JRX4Cu37wbNQOTyJZCNx3jl5hKKKrwHcqg6YGJYBhhb2v4Tt9eEsU9fAc8EjHeOqosibVPtJhiczO4MWc0e6Qmxxl3NB59p3qQwfDjL5wKqaRzC8V0KXQqbLM69vlsOajYNSJjTR1k4qO-LXHFeJEoASrUvkP8zlX8rCEhx9wRex-FkqN5xbJPB43-YzXQeT62y4nhx9wRex8-yDzCd8B53C..&amp;spm=a1z10.3-c-s.w4002-24706531953.29.7d3f6a4bI82LmC</t>
  </si>
  <si>
    <t>https://item.taobao.com/item.htm?id=522577916603&amp;pisk=frlmGj_yzxyfQ9S0RLVXF6Q5Jpp-GiN_ccCTX5EwUur5McFY67rzWPIa71y44Y0IjoL6hSHuj0ou0sLXhRricunO6qhiF10I5jLb6ENjl5NwvHdpvqgb1bxIfElcU4zEz174Q3Nkd5VwvHdGeayXD5uYaMPdH8r7SsrNgcyyaPrzurPZbuyz8P54_5850BdT9HlwoJqhYiwcfbTT9ku40q3xajILxqlPs1q0y-vxuufN_bDRc5VL0p_8fSEjVrm6OsN4IAlYaj-y_WkIqf2UtdLb3VDofShy7trEHmetG8jV3yV0mJl4eBYrzRkoZSh2f9g-roy3wYpWDRFmmvZQ3LtSj4qxbj2PmgyPU9uy81ayWbW1C-z7rkBBqnufI2UQZUYlLFw4PrZprUX1C-z7rkLkr9Jb3zabv&amp;spm=a1z10.3-c-s.w4002-24706531953.21.469c6a4bWK7JJQ</t>
  </si>
  <si>
    <t>硅脂</t>
    <phoneticPr fontId="1" type="noConversion"/>
  </si>
  <si>
    <t>风扇2个</t>
    <phoneticPr fontId="1" type="noConversion"/>
  </si>
  <si>
    <t>40MMX40MM</t>
    <phoneticPr fontId="1" type="noConversion"/>
  </si>
  <si>
    <t>24V需要两只，2.5元一只共5元，可以买别的地方的，这里我买的时候是1.5元一只，现在涨价了。
如果自已改别的DCDC芯片，那么可以使用任意电压规格的风扇，只要是40MM就行了，比如一个简单的方法是使用跟电源输入一样12V电压的风扇</t>
    <phoneticPr fontId="1" type="noConversion"/>
  </si>
  <si>
    <t>尽量使用捷配的2层免费PCB，因为它是无铅的。如果要用嘉立创的免费PCB，建议用沉金工艺的，并直接使用4层板以获得最佳导热性能。避免使用有铅工艺的PCB，因为PCB需要经常性的受冷热冲击，有毒的铅可能污染桌面和空气。
开源的PCB是4层板，小改一上就能用两层板。</t>
    <phoneticPr fontId="1" type="noConversion"/>
  </si>
  <si>
    <t>PCB硅胶绝缘片</t>
    <phoneticPr fontId="1" type="noConversion"/>
  </si>
  <si>
    <t>3-5块钱一个</t>
    <phoneticPr fontId="1" type="noConversion"/>
  </si>
  <si>
    <t>4层</t>
    <phoneticPr fontId="1" type="noConversion"/>
  </si>
  <si>
    <t>其中铨洲疑似只支持顺丰特快，邮费要18元，但是可以多个产品打包邮寄。嘉立创支持微小件，只要5块一个件的运费，可以两个一起邮寄。二者都有两个不包邮完全免费的产品名额。</t>
    <phoneticPr fontId="1" type="noConversion"/>
  </si>
  <si>
    <t>可以用2毫米厚度的，任何时候确保隔热棉被轻微压缩即可，注意太薄的磁铁可能在吸合瞬间被打碎</t>
    <phoneticPr fontId="1" type="noConversion"/>
  </si>
  <si>
    <t>此处所有电容和电阻都可以使用任意品牌和规格，比如0.1%的电阻可以用1%的电阻替代。100NF的三星电容可以用杂牌100NF电容替代。特别要注意，24V输出的电容耐压需要大于25V，最好35V以上。对于立创商城新人，建议所有电容都统一从某个有优惠券的厂家购买，立创商城的电容基本每个月都会有一个到两个厂家提供16-15的新人优惠券，或20-15的老人优惠券。其它器件同理，找有优惠券的买，本系统器件要求非常低，什么品牌都能用。所有器件以Supplier Part为准。原理图只是为了兼容封装随便放的器件。</t>
    <phoneticPr fontId="1" type="noConversion"/>
  </si>
  <si>
    <t>12V3A电源，无推荐型号</t>
    <phoneticPr fontId="1" type="noConversion"/>
  </si>
  <si>
    <t>https://item.taobao.com/item.htm?abbucket=7&amp;id=589708269208&amp;mi_id=0000YN_sdEYM8CcIvrNLpwqwtJXtkBhFc2ZnPKGtefLaiZs&amp;ns=1&amp;priceTId=214781bc17728744515706998e18e9&amp;skuId=4036560157539&amp;spm=a21n57.1.hoverItem.6&amp;utparam=%7B%22aplus_abtest%22%3A%22af4b4e8f762783793d20f852585247b8%22%7D&amp;xxc=taobaoSearch</t>
    <phoneticPr fontId="1" type="noConversion"/>
  </si>
  <si>
    <r>
      <t>购买渠道</t>
    </r>
    <r>
      <rPr>
        <b/>
        <sz val="11"/>
        <color rgb="FFFF0000"/>
        <rFont val="等线"/>
        <family val="3"/>
        <charset val="134"/>
        <scheme val="minor"/>
      </rPr>
      <t>（未验证，由于是杂牌，建议购买4A款，实机演示使用的是品牌监控原装的12V3A电源。）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</si>
</sst>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7"/>
      <color rgb="FF333333"/>
      <name val="Arial"/>
      <family val="2"/>
    </font>
    <font>
      <sz val="11"/>
      <color theme="1" tint="4.9989318521683403E-2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2" borderId="0" xfId="0" applyFill="1" applyAlignment="1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/>
    </xf>
    <xf numFmtId="0" fontId="4" fillId="0" borderId="0" xfId="0" applyFont="1">
      <alignment vertical="center"/>
    </xf>
    <xf numFmtId="0" fontId="0" fillId="3" borderId="0" xfId="0" applyFill="1" applyAlignment="1"/>
    <xf numFmtId="0" fontId="5" fillId="4" borderId="0" xfId="0" applyFont="1" applyFill="1" applyAlignment="1"/>
    <xf numFmtId="0" fontId="0" fillId="4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horizontal="center"/>
    </xf>
    <xf numFmtId="0" fontId="0" fillId="5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item.taobao.com/item.htm?id=817689308590&amp;mi_id=00009pvnRai6X6E-fS8p_G-BAtO-cNJjDCP9FmUXvKAhuLs&amp;skuId=5519732409943&amp;spm=tbpc.boughtlist.suborder_itemtitle.1.4f452e8dRpvUf9" TargetMode="External"/><Relationship Id="rId7" Type="http://schemas.openxmlformats.org/officeDocument/2006/relationships/hyperlink" Target="https://item.taobao.com/item.htm?id=522577916603&amp;pisk=frlmGj_yzxyfQ9S0RLVXF6Q5Jpp-GiN_ccCTX5EwUur5McFY67rzWPIa71y44Y0IjoL6hSHuj0ou0sLXhRricunO6qhiF10I5jLb6ENjl5NwvHdpvqgb1bxIfElcU4zEz174Q3Nkd5VwvHdGeayXD5uYaMPdH8r7SsrNgcyyaPrzurPZbuyz8P54_5850BdT9HlwoJqhYiwcfbTT9ku40q3xajILxqlPs1q0y-vxuufN_bDRc5VL0p_8fSEjVrm6OsN4IAlYaj-y_WkIqf2UtdLb3VDofShy7trEHmetG8jV3yV0mJl4eBYrzRkoZSh2f9g-roy3wYpWDRFmmvZQ3LtSj4qxbj2PmgyPU9uy81ayWbW1C-z7rkBBqnufI2UQZUYlLFw4PrZprUX1C-z7rkLkr9Jb3zabv&amp;spm=a1z10.3-c-s.w4002-24706531953.21.469c6a4bWK7JJQ" TargetMode="External"/><Relationship Id="rId2" Type="http://schemas.openxmlformats.org/officeDocument/2006/relationships/hyperlink" Target="https://item.taobao.com/item.htm?id=930159938449&amp;mi_id=0000KdnbE7y0JEIFt_wQPNsan6fqfvYet7-YeuGESdcuLq4&amp;skuId=5814795480951&amp;spm=tbpc.mytb_itemcollect.item.goods&amp;upStreamPrice=420" TargetMode="External"/><Relationship Id="rId1" Type="http://schemas.openxmlformats.org/officeDocument/2006/relationships/hyperlink" Target="https://detail.tmall.com/item.htm?from=cart&amp;id=638526313070&amp;mi_id=0000EiW_HrWq4Aitvy7UlWkUd3mO6fhv1GiKEQfvBBx5KGM&amp;skuId=5423460206373&amp;spm=a1z0d.6639537%2F202410.item.d638526313070.37fc7484l9NAa1&amp;upStreamPrice=762" TargetMode="External"/><Relationship Id="rId6" Type="http://schemas.openxmlformats.org/officeDocument/2006/relationships/hyperlink" Target="https://item.taobao.com/item.htm?id=522556147374&amp;pisk=fVfiGX0U8OJsm5oMPJA_dbH57Sed1cOXfihvDIK4LH-I6id9MB-ekEn2ujJwY9b5mhUbCCBHmMSHbfU_CK-cfHIxMNCcdjb5l1U6MPO15IO42uF82N_6GCBVvCCiLe818A8w3kO3FIA42uFmp2J_XI79TDPKBp-Bof-qgi-ETExe7fRV0HJezElwgI88KvPeuu1zSLxo4c9JRX4Cu37wbNQOTyJZCNx3jl5hKKKrwHcqg6YGJYBhhb2v4Tt9eEsU9fAc8EjHeOqosibVPtJhiczO4MWc0e6Qmxxl3NB59p3qQwfDjL5wKqaRzC8V0KXQqbLM69vlsOajYNSJjTR1k4qO-LXHFeJEoASrUvkP8zlX8rCEhx9wRex-FkqN5xbJPB43-YzXQeT62y4nhx9wRex8-yDzCd8B53C..&amp;spm=a1z10.3-c-s.w4002-24706531953.29.7d3f6a4bI82LmC" TargetMode="External"/><Relationship Id="rId5" Type="http://schemas.openxmlformats.org/officeDocument/2006/relationships/hyperlink" Target="https://item.taobao.com/item.htm?from=cart&amp;id=707261524755&amp;mi_id=0000u7f9xgYtTPvJEYeJiPZPiX6GFBe5s4IHr9zWzROeGvY&amp;skuId=5145206311999&amp;spm=a1z0d.6639537%2F202410.item.d707261524755.7bd974848RQPKW&amp;upStreamPrice=330" TargetMode="External"/><Relationship Id="rId4" Type="http://schemas.openxmlformats.org/officeDocument/2006/relationships/hyperlink" Target="https://item.taobao.com/item.htm?abbucket=7&amp;id=556419880454&amp;mi_id=0000Jb751xCgHzkRgP2Kh8SK1kWBY87muPMSEkKuARu0O3U&amp;ns=1&amp;priceTId=214782d917714230055887173e1b14&amp;spm=a21n57.1.hoverItem.1&amp;utparam=%7B%22aplus_abtest%22%3A%22614e008e959fa6f0e232d7b4e8c7a665%22%7D&amp;xxc=taobaoSearch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abbucket=7&amp;id=637431490777&amp;mi_id=0000cbPXxB3dFX-5BgSb-tElPg4w6FogU7Du-_EfYdeRDpw&amp;ns=1&amp;spm=a21n57.1.hoverItem.5&amp;utparam=%7B%22aplus_abtest%22%3A%2241defbbe1026700f010fa5ec8e936068%22%7D&amp;xxc=taobaoSearch" TargetMode="External"/><Relationship Id="rId2" Type="http://schemas.openxmlformats.org/officeDocument/2006/relationships/hyperlink" Target="https://item.taobao.com/item.htm?id=555924156309&amp;pisk=ft7sGeMYkAD17UKt4sFEFa6k-wYb5OaPBjOAZs3ZMFL9Hj6dMC39XnhpvCAjWnp4jttf39xA7F5NdKBPhI7NushXM989mGJ2QKTfiTNUUzzPs1YDy8yzzq4cmY8oDIpx32dpZxV1ZuzPs1vDaMxTAzzb3cGScIBvXpLpMpdxBKBvJHdwpVdxWEpLOIYWlX43qA1Yd23IcSiPFQ3SjcbB9-vR16OHTw9pXLKpdqCFRCt6e1Qwg3AD9w7B4Hl41eClYOdBPPMk1MCWWI_0wm9XcNYBdTa-oBjOCwKf8S45TFOX2EKIMqCB7MKC5UU-dBjd_iQGCjgvsN7ycLxQMqx2Ja-R2OG0Z6L9MgRozLi10mGBqqOBUWNImmfVP1PFwBMQJhdHTaPQOAiDXBABUWNImmx9tB-UOWMsm&amp;spm=a1z10.3-c-s.w4002-24706531953.9.21006a4bqHuQsm" TargetMode="External"/><Relationship Id="rId1" Type="http://schemas.openxmlformats.org/officeDocument/2006/relationships/hyperlink" Target="https://item.taobao.com/item.htm?spm=a1z0d.6639537%2F202410.item.d764851439426.7bd97484RdrUYn&amp;id=764851439426&amp;from=cart&amp;mi_id=00003V_HNkyUyFjjbOBNkwOWRCvIOz-Le_hkfIBHPasnmcY&amp;upStreamPrice=214" TargetMode="External"/><Relationship Id="rId5" Type="http://schemas.openxmlformats.org/officeDocument/2006/relationships/hyperlink" Target="https://item.taobao.com/item.htm?abbucket=7&amp;id=594883479409&amp;mi_id=0000Kx1k5OfJTPEYHZxdXaPgS-xAcToRRZIQ5ZaOabCeDUQ&amp;ns=1&amp;priceTId=2147840017718271943076834e1908&amp;spm=a21n57.1.hoverItem.4&amp;utparam=%7B%22aplus_abtest%22%3A%22fdd1a25e98d345f12bbb982466e351a8%22%7D&amp;xxc=taobaoSearch" TargetMode="External"/><Relationship Id="rId4" Type="http://schemas.openxmlformats.org/officeDocument/2006/relationships/hyperlink" Target="https://item.taobao.com/item.htm?abbucket=7&amp;id=917616665599&amp;mi_id=0000A6fZYSIg_1yUChZk_zSWb0k36JObJhIG2ihaVkkVpcI&amp;ns=1&amp;priceTId=2147840017718270046777116e1908&amp;skuId=5786878297622&amp;spm=a21n57.1.hoverItem.6&amp;utparam=%7B%22aplus_abtest%22%3A%22b52263acd54cdd5c9202747e153cafc9%22%7D&amp;xxc=taobaoSearch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taobao.com/item.htm?abbucket=7&amp;id=589708269208&amp;mi_id=0000YN_sdEYM8CcIvrNLpwqwtJXtkBhFc2ZnPKGtefLaiZs&amp;ns=1&amp;priceTId=214781bc17728744515706998e18e9&amp;skuId=4036560157539&amp;spm=a21n57.1.hoverItem.6&amp;utparam=%7B%22aplus_abtest%22%3A%22af4b4e8f762783793d20f852585247b8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711E-0F08-4B37-903E-5ED1CD5714B1}">
  <dimension ref="A1:S27"/>
  <sheetViews>
    <sheetView zoomScale="85" zoomScaleNormal="85" workbookViewId="0">
      <selection activeCell="E14" sqref="E14"/>
    </sheetView>
  </sheetViews>
  <sheetFormatPr defaultRowHeight="13.8" x14ac:dyDescent="0.25"/>
  <cols>
    <col min="1" max="1" width="16.5546875" style="1" customWidth="1"/>
    <col min="2" max="2" width="11.6640625" style="1" customWidth="1"/>
    <col min="3" max="3" width="15.6640625" style="1" customWidth="1"/>
    <col min="4" max="4" width="14.5546875" style="1" customWidth="1"/>
    <col min="5" max="5" width="45.21875" style="2" customWidth="1"/>
    <col min="6" max="6" width="8.88671875" style="1"/>
  </cols>
  <sheetData>
    <row r="1" spans="1:19" x14ac:dyDescent="0.25">
      <c r="A1" s="1" t="s">
        <v>2</v>
      </c>
      <c r="B1" s="1" t="s">
        <v>3</v>
      </c>
      <c r="C1" s="1" t="s">
        <v>13</v>
      </c>
      <c r="D1" s="1" t="s">
        <v>4</v>
      </c>
      <c r="E1" s="2" t="s">
        <v>5</v>
      </c>
      <c r="F1" s="15" t="s">
        <v>7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x14ac:dyDescent="0.25">
      <c r="A2" s="1" t="s">
        <v>0</v>
      </c>
      <c r="B2" s="1">
        <v>7.62</v>
      </c>
      <c r="D2" s="1">
        <v>12706</v>
      </c>
      <c r="E2" s="2" t="s">
        <v>6</v>
      </c>
      <c r="F2" s="17" t="s">
        <v>1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x14ac:dyDescent="0.25">
      <c r="A3" s="1" t="s">
        <v>11</v>
      </c>
      <c r="B3" s="1">
        <v>9</v>
      </c>
      <c r="D3" s="1" t="s">
        <v>10</v>
      </c>
      <c r="E3" s="2" t="s">
        <v>9</v>
      </c>
      <c r="F3" s="17" t="s">
        <v>8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19" ht="99" customHeight="1" x14ac:dyDescent="0.25">
      <c r="A4" s="1" t="s">
        <v>162</v>
      </c>
      <c r="B4" s="1">
        <v>5</v>
      </c>
      <c r="C4" s="1" t="s">
        <v>167</v>
      </c>
      <c r="D4" s="1" t="s">
        <v>163</v>
      </c>
      <c r="E4" s="2" t="s">
        <v>164</v>
      </c>
      <c r="F4" s="17" t="s">
        <v>12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19" ht="95.4" customHeight="1" x14ac:dyDescent="0.25">
      <c r="A5" s="1" t="s">
        <v>14</v>
      </c>
      <c r="B5" s="1">
        <v>0</v>
      </c>
      <c r="C5" s="1">
        <v>20</v>
      </c>
      <c r="D5" s="1" t="s">
        <v>168</v>
      </c>
      <c r="E5" s="2" t="s">
        <v>165</v>
      </c>
      <c r="F5" s="15" t="s">
        <v>20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 ht="40.200000000000003" customHeight="1" x14ac:dyDescent="0.25">
      <c r="A6" s="1" t="s">
        <v>17</v>
      </c>
      <c r="B6" s="1">
        <v>0</v>
      </c>
      <c r="C6" s="1" t="s">
        <v>25</v>
      </c>
      <c r="E6" s="16" t="s">
        <v>169</v>
      </c>
      <c r="F6" s="15" t="s">
        <v>22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ht="48.6" customHeight="1" x14ac:dyDescent="0.25">
      <c r="A7" s="1" t="s">
        <v>18</v>
      </c>
      <c r="B7" s="1">
        <v>5</v>
      </c>
      <c r="C7" s="1" t="s">
        <v>25</v>
      </c>
      <c r="E7" s="16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ht="19.2" customHeight="1" x14ac:dyDescent="0.25">
      <c r="A8" s="1" t="s">
        <v>15</v>
      </c>
      <c r="B8" s="1">
        <v>3.5</v>
      </c>
      <c r="E8" s="2" t="s">
        <v>33</v>
      </c>
      <c r="F8" s="17" t="s">
        <v>16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ht="18.600000000000001" customHeight="1" x14ac:dyDescent="0.25">
      <c r="A9" s="1" t="s">
        <v>19</v>
      </c>
      <c r="B9" s="1">
        <v>6</v>
      </c>
      <c r="C9" s="1" t="s">
        <v>24</v>
      </c>
      <c r="E9" s="2" t="s">
        <v>23</v>
      </c>
      <c r="F9" s="15" t="s">
        <v>21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ht="46.2" customHeight="1" x14ac:dyDescent="0.25">
      <c r="A10" s="1" t="s">
        <v>29</v>
      </c>
      <c r="B10" s="1">
        <v>3.3</v>
      </c>
      <c r="D10" s="1" t="s">
        <v>32</v>
      </c>
      <c r="E10" s="2" t="s">
        <v>170</v>
      </c>
      <c r="F10" s="17" t="s">
        <v>30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ht="15.6" customHeight="1" x14ac:dyDescent="0.25">
      <c r="A11" s="1" t="s">
        <v>161</v>
      </c>
      <c r="B11" s="1">
        <v>4.95</v>
      </c>
      <c r="F11" s="17" t="s">
        <v>159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19" x14ac:dyDescent="0.25">
      <c r="A12" s="1" t="s">
        <v>166</v>
      </c>
      <c r="B12" s="1">
        <v>2.2000000000000002</v>
      </c>
      <c r="F12" s="17" t="s">
        <v>160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spans="1:19" x14ac:dyDescent="0.25"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ht="30" customHeight="1" x14ac:dyDescent="0.25">
      <c r="B14" s="7">
        <f>SUM(B2:B12)</f>
        <v>46.570000000000007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x14ac:dyDescent="0.25"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x14ac:dyDescent="0.25"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6:19" x14ac:dyDescent="0.25"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spans="6:19" x14ac:dyDescent="0.25"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6:19" x14ac:dyDescent="0.25"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6:19" x14ac:dyDescent="0.25"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6:19" x14ac:dyDescent="0.25"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6:19" x14ac:dyDescent="0.25"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spans="6:19" x14ac:dyDescent="0.25"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6:19" x14ac:dyDescent="0.25"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spans="6:19" x14ac:dyDescent="0.25"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6:19" x14ac:dyDescent="0.25"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6:19" x14ac:dyDescent="0.25"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</sheetData>
  <mergeCells count="27">
    <mergeCell ref="F13:S13"/>
    <mergeCell ref="F1:S1"/>
    <mergeCell ref="F2:S2"/>
    <mergeCell ref="F3:S3"/>
    <mergeCell ref="F4:S4"/>
    <mergeCell ref="F5:S5"/>
    <mergeCell ref="F8:S8"/>
    <mergeCell ref="F9:S9"/>
    <mergeCell ref="F10:S10"/>
    <mergeCell ref="F11:S11"/>
    <mergeCell ref="F12:S12"/>
    <mergeCell ref="F26:S26"/>
    <mergeCell ref="F27:S27"/>
    <mergeCell ref="F6:S7"/>
    <mergeCell ref="E6:E7"/>
    <mergeCell ref="F20:S20"/>
    <mergeCell ref="F21:S21"/>
    <mergeCell ref="F22:S22"/>
    <mergeCell ref="F23:S23"/>
    <mergeCell ref="F24:S24"/>
    <mergeCell ref="F25:S25"/>
    <mergeCell ref="F14:S14"/>
    <mergeCell ref="F15:S15"/>
    <mergeCell ref="F16:S16"/>
    <mergeCell ref="F17:S17"/>
    <mergeCell ref="F18:S18"/>
    <mergeCell ref="F19:S19"/>
  </mergeCells>
  <phoneticPr fontId="1" type="noConversion"/>
  <hyperlinks>
    <hyperlink ref="F2" r:id="rId1" xr:uid="{A2AF0A6B-43FC-444E-BDC3-D6F4F1571C3A}"/>
    <hyperlink ref="F3" r:id="rId2" xr:uid="{4B0C1686-E71E-488C-923E-33F8508088D5}"/>
    <hyperlink ref="F4" r:id="rId3" xr:uid="{68F6E4BC-4297-4C2E-96B5-78DB7EA0FB02}"/>
    <hyperlink ref="F8" r:id="rId4" display="https://item.taobao.com/item.htm?abbucket=7&amp;id=556419880454&amp;mi_id=0000Jb751xCgHzkRgP2Kh8SK1kWBY87muPMSEkKuARu0O3U&amp;ns=1&amp;priceTId=214782d917714230055887173e1b14&amp;spm=a21n57.1.hoverItem.1&amp;utparam=%7B%22aplus_abtest%22%3A%22614e008e959fa6f0e232d7b4e8c7a665%22%7D&amp;xxc=taobaoSearch" xr:uid="{205725D1-6356-4485-924F-6521C1EFA9BF}"/>
    <hyperlink ref="F10" r:id="rId5" xr:uid="{6D08DA1A-AEC0-4BEA-80BF-54B66521D64F}"/>
    <hyperlink ref="F11:S11" r:id="rId6" display="https://item.taobao.com/item.htm?id=522556147374&amp;pisk=fVfiGX0U8OJsm5oMPJA_dbH57Sed1cOXfihvDIK4LH-I6id9MB-ekEn2ujJwY9b5mhUbCCBHmMSHbfU_CK-cfHIxMNCcdjb5l1U6MPO15IO42uF82N_6GCBVvCCiLe818A8w3kO3FIA42uFmp2J_XI79TDPKBp-Bof-qgi-ETExe7fRV0HJezElwgI88KvPeuu1zSLxo4c9JRX4Cu37wbNQOTyJZCNx3jl5hKKKrwHcqg6YGJYBhhb2v4Tt9eEsU9fAc8EjHeOqosibVPtJhiczO4MWc0e6Qmxxl3NB59p3qQwfDjL5wKqaRzC8V0KXQqbLM69vlsOajYNSJjTR1k4qO-LXHFeJEoASrUvkP8zlX8rCEhx9wRex-FkqN5xbJPB43-YzXQeT62y4nhx9wRex8-yDzCd8B53C..&amp;spm=a1z10.3-c-s.w4002-24706531953.29.7d3f6a4bI82LmC" xr:uid="{403EC507-4591-42EF-BE01-6B4F2475DAF7}"/>
    <hyperlink ref="F12:S12" r:id="rId7" display="https://item.taobao.com/item.htm?id=522577916603&amp;pisk=frlmGj_yzxyfQ9S0RLVXF6Q5Jpp-GiN_ccCTX5EwUur5McFY67rzWPIa71y44Y0IjoL6hSHuj0ou0sLXhRricunO6qhiF10I5jLb6ENjl5NwvHdpvqgb1bxIfElcU4zEz174Q3Nkd5VwvHdGeayXD5uYaMPdH8r7SsrNgcyyaPrzurPZbuyz8P54_5850BdT9HlwoJqhYiwcfbTT9ku40q3xajILxqlPs1q0y-vxuufN_bDRc5VL0p_8fSEjVrm6OsN4IAlYaj-y_WkIqf2UtdLb3VDofShy7trEHmetG8jV3yV0mJl4eBYrzRkoZSh2f9g-roy3wYpWDRFmmvZQ3LtSj4qxbj2PmgyPU9uy81ayWbW1C-z7rkBBqnufI2UQZUYlLFw4PrZprUX1C-z7rkLkr9Jb3zabv&amp;spm=a1z10.3-c-s.w4002-24706531953.21.469c6a4bWK7JJQ" xr:uid="{10C0F99E-B3FE-4E90-8386-AB0DE03BFE50}"/>
  </hyperlinks>
  <pageMargins left="0.7" right="0.7" top="0.75" bottom="0.75" header="0.3" footer="0.3"/>
  <pageSetup paperSize="9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E5C7-9312-4ADA-B825-8A0471D29EA8}">
  <dimension ref="A1:S17"/>
  <sheetViews>
    <sheetView workbookViewId="0">
      <selection activeCell="C15" sqref="C15"/>
    </sheetView>
  </sheetViews>
  <sheetFormatPr defaultRowHeight="13.8" x14ac:dyDescent="0.25"/>
  <cols>
    <col min="1" max="1" width="16.44140625" customWidth="1"/>
    <col min="2" max="2" width="18.109375" style="1" customWidth="1"/>
    <col min="3" max="3" width="14" customWidth="1"/>
    <col min="4" max="4" width="20.77734375" style="1" customWidth="1"/>
    <col min="5" max="5" width="32.5546875" customWidth="1"/>
  </cols>
  <sheetData>
    <row r="1" spans="1:19" x14ac:dyDescent="0.25">
      <c r="A1" s="1" t="s">
        <v>2</v>
      </c>
      <c r="B1" s="1" t="s">
        <v>3</v>
      </c>
      <c r="C1" s="1" t="s">
        <v>13</v>
      </c>
      <c r="D1" s="1" t="s">
        <v>4</v>
      </c>
      <c r="E1" s="2" t="s">
        <v>5</v>
      </c>
      <c r="F1" s="15" t="s">
        <v>7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</row>
    <row r="2" spans="1:19" x14ac:dyDescent="0.25">
      <c r="A2" t="s">
        <v>27</v>
      </c>
      <c r="B2" s="1">
        <v>3.65</v>
      </c>
      <c r="D2" s="1" t="s">
        <v>26</v>
      </c>
      <c r="E2" t="s">
        <v>31</v>
      </c>
      <c r="F2" s="17" t="s">
        <v>28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spans="1:19" x14ac:dyDescent="0.25">
      <c r="A3" t="s">
        <v>106</v>
      </c>
      <c r="B3" s="1">
        <v>0.6</v>
      </c>
      <c r="D3" s="1">
        <v>8530</v>
      </c>
      <c r="F3" s="17" t="s">
        <v>107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</row>
    <row r="4" spans="1:19" x14ac:dyDescent="0.25">
      <c r="A4" t="s">
        <v>136</v>
      </c>
      <c r="B4" s="1">
        <v>4</v>
      </c>
      <c r="D4" s="1" t="s">
        <v>137</v>
      </c>
      <c r="E4" t="s">
        <v>138</v>
      </c>
      <c r="F4" s="17" t="s">
        <v>135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19" x14ac:dyDescent="0.25">
      <c r="A5" t="s">
        <v>140</v>
      </c>
      <c r="B5" s="1">
        <v>1</v>
      </c>
      <c r="D5" s="1" t="s">
        <v>141</v>
      </c>
      <c r="F5" s="17" t="s">
        <v>139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 x14ac:dyDescent="0.25">
      <c r="A6" t="s">
        <v>145</v>
      </c>
      <c r="B6" s="1">
        <v>2.9</v>
      </c>
      <c r="D6" s="1" t="s">
        <v>99</v>
      </c>
      <c r="F6" s="17" t="s">
        <v>144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1:19" x14ac:dyDescent="0.25">
      <c r="B7" s="18">
        <f>SUM(B2:B6)</f>
        <v>12.15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1:19" x14ac:dyDescent="0.25">
      <c r="B8" s="18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spans="1:19" x14ac:dyDescent="0.25"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spans="1:19" x14ac:dyDescent="0.25"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  <row r="11" spans="1:19" x14ac:dyDescent="0.25"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</row>
    <row r="12" spans="1:19" x14ac:dyDescent="0.25"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</row>
    <row r="13" spans="1:19" x14ac:dyDescent="0.25"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1:19" x14ac:dyDescent="0.25"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x14ac:dyDescent="0.25"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1:19" x14ac:dyDescent="0.25"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6:19" x14ac:dyDescent="0.25"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</sheetData>
  <mergeCells count="18">
    <mergeCell ref="B7:B8"/>
    <mergeCell ref="F10:S10"/>
    <mergeCell ref="F1:S1"/>
    <mergeCell ref="F2:S2"/>
    <mergeCell ref="F3:S3"/>
    <mergeCell ref="F4:S4"/>
    <mergeCell ref="F5:S5"/>
    <mergeCell ref="F6:S6"/>
    <mergeCell ref="F7:S7"/>
    <mergeCell ref="F8:S8"/>
    <mergeCell ref="F9:S9"/>
    <mergeCell ref="F17:S17"/>
    <mergeCell ref="F11:S11"/>
    <mergeCell ref="F12:S12"/>
    <mergeCell ref="F13:S13"/>
    <mergeCell ref="F14:S14"/>
    <mergeCell ref="F15:S15"/>
    <mergeCell ref="F16:S16"/>
  </mergeCells>
  <phoneticPr fontId="1" type="noConversion"/>
  <hyperlinks>
    <hyperlink ref="F2" r:id="rId1" xr:uid="{7DC520AB-6E75-46EC-AE56-27518CB4EC89}"/>
    <hyperlink ref="F3" r:id="rId2" display="https://item.taobao.com/item.htm?id=555924156309&amp;pisk=ft7sGeMYkAD17UKt4sFEFa6k-wYb5OaPBjOAZs3ZMFL9Hj6dMC39XnhpvCAjWnp4jttf39xA7F5NdKBPhI7NushXM989mGJ2QKTfiTNUUzzPs1YDy8yzzq4cmY8oDIpx32dpZxV1ZuzPs1vDaMxTAzzb3cGScIBvXpLpMpdxBKBvJHdwpVdxWEpLOIYWlX43qA1Yd23IcSiPFQ3SjcbB9-vR16OHTw9pXLKpdqCFRCt6e1Qwg3AD9w7B4Hl41eClYOdBPPMk1MCWWI_0wm9XcNYBdTa-oBjOCwKf8S45TFOX2EKIMqCB7MKC5UU-dBjd_iQGCjgvsN7ycLxQMqx2Ja-R2OG0Z6L9MgRozLi10mGBqqOBUWNImmfVP1PFwBMQJhdHTaPQOAiDXBABUWNImmx9tB-UOWMsm&amp;spm=a1z10.3-c-s.w4002-24706531953.9.21006a4bqHuQsm" xr:uid="{D2D971E7-8E8B-4A40-AE2F-666AE37353D6}"/>
    <hyperlink ref="F4" r:id="rId3" xr:uid="{FCD19E36-43B8-47C3-8C49-B4E7204116D3}"/>
    <hyperlink ref="F5" r:id="rId4" display="https://item.taobao.com/item.htm?abbucket=7&amp;id=917616665599&amp;mi_id=0000A6fZYSIg_1yUChZk_zSWb0k36JObJhIG2ihaVkkVpcI&amp;ns=1&amp;priceTId=2147840017718270046777116e1908&amp;skuId=5786878297622&amp;spm=a21n57.1.hoverItem.6&amp;utparam=%7B%22aplus_abtest%22%3A%22b52263acd54cdd5c9202747e153cafc9%22%7D&amp;xxc=taobaoSearch" xr:uid="{66CA880B-F716-425D-B5CB-428E096270F0}"/>
    <hyperlink ref="F6" r:id="rId5" display="https://item.taobao.com/item.htm?abbucket=7&amp;id=594883479409&amp;mi_id=0000Kx1k5OfJTPEYHZxdXaPgS-xAcToRRZIQ5ZaOabCeDUQ&amp;ns=1&amp;priceTId=2147840017718271943076834e1908&amp;spm=a21n57.1.hoverItem.4&amp;utparam=%7B%22aplus_abtest%22%3A%22fdd1a25e98d345f12bbb982466e351a8%22%7D&amp;xxc=taobaoSearch" xr:uid="{C0EC0DFB-A8BC-49C5-8102-004A3DEB4FE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C66F-027A-400C-8FA5-452236D1EAF3}">
  <dimension ref="A1:S41"/>
  <sheetViews>
    <sheetView zoomScale="70" zoomScaleNormal="70" workbookViewId="0">
      <selection activeCell="L11" sqref="L11"/>
    </sheetView>
  </sheetViews>
  <sheetFormatPr defaultRowHeight="13.8" x14ac:dyDescent="0.25"/>
  <cols>
    <col min="1" max="1" width="15.5546875" style="4" customWidth="1"/>
    <col min="2" max="2" width="24" style="6" customWidth="1"/>
    <col min="3" max="3" width="8.88671875" style="3" customWidth="1"/>
    <col min="4" max="4" width="54.88671875" style="3" customWidth="1"/>
    <col min="5" max="5" width="30.5546875" style="3" customWidth="1"/>
    <col min="6" max="6" width="20" style="3" customWidth="1"/>
    <col min="7" max="16384" width="8.88671875" style="3"/>
  </cols>
  <sheetData>
    <row r="1" spans="1:19" ht="33" customHeight="1" x14ac:dyDescent="0.3">
      <c r="A1" s="21" t="s">
        <v>171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x14ac:dyDescent="0.25">
      <c r="A2" s="4" t="s">
        <v>108</v>
      </c>
      <c r="B2" s="6" t="s">
        <v>5</v>
      </c>
      <c r="C2" s="3" t="s">
        <v>34</v>
      </c>
      <c r="D2" s="3" t="s">
        <v>35</v>
      </c>
      <c r="E2" s="3" t="s">
        <v>36</v>
      </c>
      <c r="F2" s="3" t="s">
        <v>127</v>
      </c>
    </row>
    <row r="3" spans="1:19" x14ac:dyDescent="0.25">
      <c r="A3" s="20">
        <v>5</v>
      </c>
      <c r="B3" s="19" t="s">
        <v>113</v>
      </c>
      <c r="C3" s="3">
        <v>4</v>
      </c>
      <c r="D3" s="3" t="s">
        <v>109</v>
      </c>
    </row>
    <row r="4" spans="1:19" x14ac:dyDescent="0.25">
      <c r="A4" s="20"/>
      <c r="B4" s="19"/>
      <c r="C4" s="3">
        <v>4</v>
      </c>
      <c r="D4" s="3" t="s">
        <v>110</v>
      </c>
    </row>
    <row r="5" spans="1:19" x14ac:dyDescent="0.25">
      <c r="A5" s="20"/>
      <c r="B5" s="19"/>
      <c r="C5" s="3">
        <v>1</v>
      </c>
      <c r="D5" s="3" t="s">
        <v>37</v>
      </c>
    </row>
    <row r="6" spans="1:19" x14ac:dyDescent="0.25">
      <c r="A6" s="20"/>
      <c r="B6" s="19"/>
      <c r="C6" s="3">
        <v>6</v>
      </c>
      <c r="D6" s="3" t="s">
        <v>38</v>
      </c>
    </row>
    <row r="7" spans="1:19" x14ac:dyDescent="0.25">
      <c r="A7" s="20"/>
      <c r="B7" s="19"/>
      <c r="C7" s="3">
        <v>2</v>
      </c>
      <c r="D7" s="3" t="s">
        <v>112</v>
      </c>
    </row>
    <row r="8" spans="1:19" x14ac:dyDescent="0.25">
      <c r="A8" s="20"/>
      <c r="B8" s="19"/>
      <c r="C8" s="3">
        <v>4</v>
      </c>
      <c r="D8" s="3" t="s">
        <v>111</v>
      </c>
    </row>
    <row r="9" spans="1:19" x14ac:dyDescent="0.25">
      <c r="A9" s="20">
        <v>1.5</v>
      </c>
      <c r="B9" s="19" t="s">
        <v>124</v>
      </c>
      <c r="C9" s="3">
        <v>2</v>
      </c>
      <c r="D9" s="3" t="s">
        <v>119</v>
      </c>
      <c r="E9" s="3" t="s">
        <v>118</v>
      </c>
      <c r="F9" s="3" t="s">
        <v>117</v>
      </c>
    </row>
    <row r="10" spans="1:19" x14ac:dyDescent="0.25">
      <c r="A10" s="20"/>
      <c r="B10" s="19"/>
      <c r="C10" s="3">
        <v>1</v>
      </c>
      <c r="D10" s="3" t="s">
        <v>42</v>
      </c>
      <c r="E10" s="3" t="s">
        <v>41</v>
      </c>
      <c r="F10" s="3" t="s">
        <v>114</v>
      </c>
    </row>
    <row r="11" spans="1:19" x14ac:dyDescent="0.25">
      <c r="A11" s="20"/>
      <c r="B11" s="19"/>
      <c r="C11" s="3">
        <v>1</v>
      </c>
      <c r="D11" s="3" t="s">
        <v>44</v>
      </c>
      <c r="E11" s="3" t="s">
        <v>43</v>
      </c>
      <c r="F11" s="3" t="s">
        <v>45</v>
      </c>
    </row>
    <row r="12" spans="1:19" x14ac:dyDescent="0.25">
      <c r="A12" s="20"/>
      <c r="B12" s="19"/>
      <c r="C12" s="3">
        <v>1</v>
      </c>
      <c r="D12" s="3" t="s">
        <v>116</v>
      </c>
      <c r="F12" s="3" t="s">
        <v>115</v>
      </c>
    </row>
    <row r="13" spans="1:19" x14ac:dyDescent="0.25">
      <c r="A13" s="20">
        <v>1.5</v>
      </c>
      <c r="B13" s="19" t="s">
        <v>157</v>
      </c>
      <c r="C13" s="3">
        <v>1</v>
      </c>
      <c r="D13" s="3" t="s">
        <v>155</v>
      </c>
      <c r="E13" s="3" t="s">
        <v>134</v>
      </c>
      <c r="F13" s="3" t="s">
        <v>133</v>
      </c>
    </row>
    <row r="14" spans="1:19" x14ac:dyDescent="0.25">
      <c r="A14" s="20"/>
      <c r="B14" s="19"/>
      <c r="C14" s="3">
        <v>1</v>
      </c>
      <c r="D14" s="3" t="s">
        <v>156</v>
      </c>
      <c r="E14" s="3" t="s">
        <v>49</v>
      </c>
      <c r="F14" s="3" t="s">
        <v>50</v>
      </c>
    </row>
    <row r="15" spans="1:19" x14ac:dyDescent="0.25">
      <c r="A15" s="13"/>
      <c r="B15" s="11" t="s">
        <v>152</v>
      </c>
      <c r="C15" s="10">
        <v>2</v>
      </c>
      <c r="D15" s="10" t="s">
        <v>154</v>
      </c>
      <c r="E15" s="10" t="s">
        <v>153</v>
      </c>
      <c r="F15" s="10" t="s">
        <v>51</v>
      </c>
    </row>
    <row r="16" spans="1:19" x14ac:dyDescent="0.25">
      <c r="A16" s="20">
        <v>1.5</v>
      </c>
      <c r="B16" s="19" t="s">
        <v>132</v>
      </c>
      <c r="C16" s="3">
        <v>1</v>
      </c>
      <c r="D16" s="3" t="s">
        <v>47</v>
      </c>
      <c r="E16" s="3" t="s">
        <v>46</v>
      </c>
      <c r="F16" s="3" t="s">
        <v>48</v>
      </c>
    </row>
    <row r="17" spans="1:6" x14ac:dyDescent="0.25">
      <c r="A17" s="20"/>
      <c r="B17" s="19"/>
      <c r="C17" s="3">
        <v>1</v>
      </c>
      <c r="D17" s="3" t="s">
        <v>92</v>
      </c>
      <c r="E17" s="3" t="s">
        <v>91</v>
      </c>
      <c r="F17" s="3" t="s">
        <v>121</v>
      </c>
    </row>
    <row r="18" spans="1:6" x14ac:dyDescent="0.25">
      <c r="A18" s="20"/>
      <c r="B18" s="19"/>
      <c r="C18" s="3">
        <v>2</v>
      </c>
      <c r="D18" s="3" t="s">
        <v>53</v>
      </c>
      <c r="E18" s="3" t="s">
        <v>52</v>
      </c>
      <c r="F18" s="3" t="s">
        <v>54</v>
      </c>
    </row>
    <row r="19" spans="1:6" x14ac:dyDescent="0.25">
      <c r="A19" s="20">
        <v>1.5</v>
      </c>
      <c r="B19" s="19" t="s">
        <v>128</v>
      </c>
      <c r="C19" s="3">
        <v>1</v>
      </c>
      <c r="D19" s="3" t="s">
        <v>56</v>
      </c>
      <c r="E19" s="9" t="s">
        <v>55</v>
      </c>
      <c r="F19" s="3" t="s">
        <v>126</v>
      </c>
    </row>
    <row r="20" spans="1:6" x14ac:dyDescent="0.25">
      <c r="A20" s="20"/>
      <c r="B20" s="19"/>
      <c r="C20" s="3">
        <v>3</v>
      </c>
      <c r="D20" s="3" t="s">
        <v>58</v>
      </c>
      <c r="E20" s="9" t="s">
        <v>57</v>
      </c>
      <c r="F20" s="3" t="s">
        <v>126</v>
      </c>
    </row>
    <row r="21" spans="1:6" x14ac:dyDescent="0.25">
      <c r="A21" s="20"/>
      <c r="B21" s="19"/>
      <c r="C21" s="3">
        <v>1</v>
      </c>
      <c r="D21" s="3" t="s">
        <v>59</v>
      </c>
      <c r="E21" s="9" t="s">
        <v>60</v>
      </c>
      <c r="F21" s="3" t="s">
        <v>130</v>
      </c>
    </row>
    <row r="22" spans="1:6" x14ac:dyDescent="0.25">
      <c r="A22" s="20"/>
      <c r="B22" s="19"/>
      <c r="C22" s="3">
        <v>1</v>
      </c>
      <c r="D22" s="3" t="s">
        <v>61</v>
      </c>
      <c r="E22" s="9" t="s">
        <v>62</v>
      </c>
      <c r="F22" s="3" t="s">
        <v>131</v>
      </c>
    </row>
    <row r="23" spans="1:6" x14ac:dyDescent="0.25">
      <c r="A23" s="20">
        <v>1.5</v>
      </c>
      <c r="B23" s="19" t="s">
        <v>129</v>
      </c>
      <c r="C23" s="3">
        <v>2</v>
      </c>
      <c r="D23" s="3" t="s">
        <v>64</v>
      </c>
      <c r="E23" s="3" t="s">
        <v>63</v>
      </c>
    </row>
    <row r="24" spans="1:6" x14ac:dyDescent="0.25">
      <c r="A24" s="20"/>
      <c r="B24" s="19"/>
      <c r="C24" s="3">
        <v>1</v>
      </c>
      <c r="D24" s="3" t="s">
        <v>66</v>
      </c>
      <c r="E24" s="3" t="s">
        <v>65</v>
      </c>
    </row>
    <row r="25" spans="1:6" x14ac:dyDescent="0.25">
      <c r="A25" s="20"/>
      <c r="B25" s="19"/>
      <c r="C25" s="3">
        <v>1</v>
      </c>
      <c r="D25" s="3" t="s">
        <v>68</v>
      </c>
      <c r="E25" s="3" t="s">
        <v>67</v>
      </c>
    </row>
    <row r="26" spans="1:6" x14ac:dyDescent="0.25">
      <c r="B26" s="12" t="s">
        <v>148</v>
      </c>
      <c r="C26" s="9">
        <v>1</v>
      </c>
      <c r="D26" s="9" t="s">
        <v>102</v>
      </c>
      <c r="E26" s="9"/>
      <c r="F26" s="9" t="s">
        <v>147</v>
      </c>
    </row>
    <row r="27" spans="1:6" x14ac:dyDescent="0.25">
      <c r="A27" s="20">
        <v>1.5</v>
      </c>
      <c r="B27" s="19" t="s">
        <v>125</v>
      </c>
      <c r="C27" s="3">
        <v>2</v>
      </c>
      <c r="D27" s="3" t="s">
        <v>69</v>
      </c>
      <c r="E27" s="3" t="s">
        <v>70</v>
      </c>
      <c r="F27" s="3" t="s">
        <v>71</v>
      </c>
    </row>
    <row r="28" spans="1:6" x14ac:dyDescent="0.25">
      <c r="A28" s="20"/>
      <c r="B28" s="19"/>
      <c r="C28" s="3">
        <v>6</v>
      </c>
      <c r="D28" s="3" t="s">
        <v>72</v>
      </c>
      <c r="E28" s="3" t="s">
        <v>73</v>
      </c>
      <c r="F28" s="3" t="s">
        <v>74</v>
      </c>
    </row>
    <row r="29" spans="1:6" x14ac:dyDescent="0.25">
      <c r="A29" s="20"/>
      <c r="B29" s="19"/>
      <c r="C29" s="3">
        <v>1</v>
      </c>
      <c r="D29" s="3" t="s">
        <v>75</v>
      </c>
      <c r="E29" s="3" t="s">
        <v>76</v>
      </c>
      <c r="F29" s="3" t="s">
        <v>77</v>
      </c>
    </row>
    <row r="30" spans="1:6" x14ac:dyDescent="0.25">
      <c r="A30" s="20"/>
      <c r="B30" s="19"/>
      <c r="C30" s="3">
        <v>4</v>
      </c>
      <c r="D30" s="3" t="s">
        <v>78</v>
      </c>
      <c r="E30" s="3" t="s">
        <v>79</v>
      </c>
      <c r="F30" s="3" t="s">
        <v>80</v>
      </c>
    </row>
    <row r="31" spans="1:6" x14ac:dyDescent="0.25">
      <c r="A31" s="20"/>
      <c r="B31" s="19"/>
      <c r="C31" s="3">
        <v>1</v>
      </c>
      <c r="D31" s="3" t="s">
        <v>81</v>
      </c>
      <c r="E31" s="3" t="s">
        <v>123</v>
      </c>
      <c r="F31" s="8" t="s">
        <v>122</v>
      </c>
    </row>
    <row r="32" spans="1:6" x14ac:dyDescent="0.25">
      <c r="A32" s="20"/>
      <c r="B32" s="19"/>
      <c r="C32" s="3">
        <v>1</v>
      </c>
      <c r="D32" s="3" t="s">
        <v>82</v>
      </c>
      <c r="E32" s="3" t="s">
        <v>83</v>
      </c>
      <c r="F32" s="3" t="s">
        <v>84</v>
      </c>
    </row>
    <row r="33" spans="1:6" x14ac:dyDescent="0.25">
      <c r="A33" s="20"/>
      <c r="B33" s="19"/>
      <c r="C33" s="3">
        <v>2</v>
      </c>
      <c r="D33" s="3" t="s">
        <v>85</v>
      </c>
      <c r="E33" s="3" t="s">
        <v>86</v>
      </c>
      <c r="F33" s="3" t="s">
        <v>87</v>
      </c>
    </row>
    <row r="34" spans="1:6" x14ac:dyDescent="0.25">
      <c r="A34" s="20"/>
      <c r="B34" s="19"/>
      <c r="C34" s="3">
        <v>1</v>
      </c>
      <c r="D34" s="3" t="s">
        <v>88</v>
      </c>
      <c r="E34" s="3" t="s">
        <v>89</v>
      </c>
      <c r="F34" s="3" t="s">
        <v>90</v>
      </c>
    </row>
    <row r="35" spans="1:6" x14ac:dyDescent="0.25">
      <c r="A35" s="4">
        <v>1.5</v>
      </c>
      <c r="B35" s="6" t="s">
        <v>143</v>
      </c>
      <c r="C35" s="3">
        <v>1</v>
      </c>
      <c r="D35" s="3" t="s">
        <v>94</v>
      </c>
      <c r="E35" s="3" t="s">
        <v>93</v>
      </c>
      <c r="F35" s="3" t="s">
        <v>95</v>
      </c>
    </row>
    <row r="36" spans="1:6" x14ac:dyDescent="0.25">
      <c r="A36" s="4">
        <v>1.5</v>
      </c>
      <c r="B36" s="6" t="s">
        <v>142</v>
      </c>
      <c r="C36" s="3">
        <v>1</v>
      </c>
      <c r="D36" s="3" t="s">
        <v>97</v>
      </c>
      <c r="E36" s="3" t="s">
        <v>96</v>
      </c>
      <c r="F36" s="3" t="s">
        <v>98</v>
      </c>
    </row>
    <row r="37" spans="1:6" x14ac:dyDescent="0.25">
      <c r="A37" s="4">
        <v>1.5</v>
      </c>
      <c r="B37" s="6" t="s">
        <v>146</v>
      </c>
      <c r="C37" s="3">
        <v>4</v>
      </c>
      <c r="D37" s="3" t="s">
        <v>101</v>
      </c>
      <c r="E37" s="3" t="s">
        <v>100</v>
      </c>
      <c r="F37" s="3" t="s">
        <v>120</v>
      </c>
    </row>
    <row r="38" spans="1:6" x14ac:dyDescent="0.25">
      <c r="A38" s="4">
        <v>1.5</v>
      </c>
      <c r="B38" s="6" t="s">
        <v>149</v>
      </c>
      <c r="C38" s="3">
        <v>1</v>
      </c>
      <c r="D38" s="3" t="s">
        <v>104</v>
      </c>
      <c r="E38" s="3" t="s">
        <v>103</v>
      </c>
      <c r="F38" s="3" t="s">
        <v>105</v>
      </c>
    </row>
    <row r="39" spans="1:6" x14ac:dyDescent="0.25">
      <c r="A39" s="4">
        <v>1.5</v>
      </c>
      <c r="B39" s="6" t="s">
        <v>151</v>
      </c>
      <c r="C39" s="3">
        <v>1</v>
      </c>
      <c r="D39" s="3" t="s">
        <v>39</v>
      </c>
      <c r="E39" s="3" t="s">
        <v>40</v>
      </c>
      <c r="F39" s="3" t="s">
        <v>150</v>
      </c>
    </row>
    <row r="40" spans="1:6" ht="43.8" customHeight="1" x14ac:dyDescent="0.25">
      <c r="A40" s="5">
        <f>SUM(A3:A39)</f>
        <v>21.5</v>
      </c>
    </row>
    <row r="41" spans="1:6" x14ac:dyDescent="0.25">
      <c r="A41" s="3"/>
    </row>
  </sheetData>
  <mergeCells count="15">
    <mergeCell ref="A1:S1"/>
    <mergeCell ref="A13:A14"/>
    <mergeCell ref="B13:B14"/>
    <mergeCell ref="B19:B22"/>
    <mergeCell ref="A19:A22"/>
    <mergeCell ref="B16:B18"/>
    <mergeCell ref="A16:A18"/>
    <mergeCell ref="B23:B25"/>
    <mergeCell ref="A23:A25"/>
    <mergeCell ref="B27:B34"/>
    <mergeCell ref="A27:A34"/>
    <mergeCell ref="A3:A8"/>
    <mergeCell ref="B3:B8"/>
    <mergeCell ref="A9:A12"/>
    <mergeCell ref="B9:B1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2B8D0-D845-40BE-82DD-E4C4BC2FD518}">
  <dimension ref="A1:Q5"/>
  <sheetViews>
    <sheetView tabSelected="1" zoomScale="115" zoomScaleNormal="115" workbookViewId="0">
      <selection activeCell="E10" sqref="E10"/>
    </sheetView>
  </sheetViews>
  <sheetFormatPr defaultRowHeight="13.8" x14ac:dyDescent="0.25"/>
  <cols>
    <col min="2" max="2" width="51.77734375" customWidth="1"/>
  </cols>
  <sheetData>
    <row r="1" spans="1:17" x14ac:dyDescent="0.25">
      <c r="A1" s="14">
        <f>非芯片类46.57!B14</f>
        <v>46.570000000000007</v>
      </c>
      <c r="C1" s="15" t="s">
        <v>174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4">
        <v>10</v>
      </c>
      <c r="B2" t="s">
        <v>172</v>
      </c>
      <c r="C2" s="17" t="s">
        <v>173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x14ac:dyDescent="0.25">
      <c r="A3" s="14">
        <f>淘宝芯片类12.15!B7</f>
        <v>12.15</v>
      </c>
    </row>
    <row r="4" spans="1:17" x14ac:dyDescent="0.25">
      <c r="A4" s="14">
        <f>嘉立创芯片21.5!A40</f>
        <v>21.5</v>
      </c>
    </row>
    <row r="5" spans="1:17" ht="24.6" customHeight="1" x14ac:dyDescent="0.25">
      <c r="A5" s="14">
        <f>SUM(A1:A4)</f>
        <v>90.220000000000013</v>
      </c>
      <c r="B5" s="14" t="s">
        <v>158</v>
      </c>
    </row>
  </sheetData>
  <mergeCells count="2">
    <mergeCell ref="C2:Q2"/>
    <mergeCell ref="C1:Q1"/>
  </mergeCells>
  <phoneticPr fontId="1" type="noConversion"/>
  <hyperlinks>
    <hyperlink ref="C2" r:id="rId1" display="https://item.taobao.com/item.htm?abbucket=7&amp;id=589708269208&amp;mi_id=0000YN_sdEYM8CcIvrNLpwqwtJXtkBhFc2ZnPKGtefLaiZs&amp;ns=1&amp;priceTId=214781bc17728744515706998e18e9&amp;skuId=4036560157539&amp;spm=a21n57.1.hoverItem.6&amp;utparam=%7B%22aplus_abtest%22%3A%22af4b4e8f762783793d20f852585247b8%22%7D&amp;xxc=taobaoSearch" xr:uid="{54F98212-2ECB-49BE-A664-EF4F570766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非芯片类46.57</vt:lpstr>
      <vt:lpstr>淘宝芯片类12.15</vt:lpstr>
      <vt:lpstr>嘉立创芯片21.5</vt:lpstr>
      <vt:lpstr>总价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大爷 你</dc:creator>
  <cp:lastModifiedBy>大爷 你</cp:lastModifiedBy>
  <dcterms:created xsi:type="dcterms:W3CDTF">2025-04-10T05:13:04Z</dcterms:created>
  <dcterms:modified xsi:type="dcterms:W3CDTF">2026-03-07T09:53:28Z</dcterms:modified>
</cp:coreProperties>
</file>