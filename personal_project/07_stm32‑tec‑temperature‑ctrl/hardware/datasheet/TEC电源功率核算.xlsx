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完整工程备份\恒温器\说明文档\"/>
    </mc:Choice>
  </mc:AlternateContent>
  <xr:revisionPtr revIDLastSave="0" documentId="13_ncr:1_{0817FE77-0CEC-44FF-9CB1-97D0F806BDD4}" xr6:coauthVersionLast="47" xr6:coauthVersionMax="47" xr10:uidLastSave="{00000000-0000-0000-0000-000000000000}"/>
  <bookViews>
    <workbookView xWindow="-108" yWindow="-108" windowWidth="23256" windowHeight="12576" xr2:uid="{A2294985-017F-4A83-AC32-EB23B1B9A74E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6" l="1"/>
  <c r="D6" i="6"/>
  <c r="C2" i="6" s="1"/>
  <c r="E6" i="6" l="1"/>
  <c r="F6" i="6" s="1"/>
</calcChain>
</file>

<file path=xl/sharedStrings.xml><?xml version="1.0" encoding="utf-8"?>
<sst xmlns="http://schemas.openxmlformats.org/spreadsheetml/2006/main" count="15" uniqueCount="15">
  <si>
    <t>说明</t>
    <phoneticPr fontId="1" type="noConversion"/>
  </si>
  <si>
    <t>功率裕量</t>
    <phoneticPr fontId="1" type="noConversion"/>
  </si>
  <si>
    <t>VREF  V</t>
    <phoneticPr fontId="1" type="noConversion"/>
  </si>
  <si>
    <t>R2  KΩ</t>
    <phoneticPr fontId="1" type="noConversion"/>
  </si>
  <si>
    <t>R1  KΩ</t>
    <phoneticPr fontId="1" type="noConversion"/>
  </si>
  <si>
    <t>电源功率  W</t>
    <phoneticPr fontId="1" type="noConversion"/>
  </si>
  <si>
    <t>TEC电阻 Ω</t>
    <phoneticPr fontId="1" type="noConversion"/>
  </si>
  <si>
    <t>TEC DCDC输出电压</t>
    <phoneticPr fontId="1" type="noConversion"/>
  </si>
  <si>
    <t>TEC功率  W</t>
    <phoneticPr fontId="1" type="noConversion"/>
  </si>
  <si>
    <t>风扇功率  W</t>
    <phoneticPr fontId="1" type="noConversion"/>
  </si>
  <si>
    <t>风扇电压 V</t>
    <phoneticPr fontId="1" type="noConversion"/>
  </si>
  <si>
    <t>风扇电流 A</t>
    <phoneticPr fontId="1" type="noConversion"/>
  </si>
  <si>
    <t>MCU功率  W</t>
    <phoneticPr fontId="1" type="noConversion"/>
  </si>
  <si>
    <t>调节后设备总功率</t>
    <phoneticPr fontId="1" type="noConversion"/>
  </si>
  <si>
    <r>
      <rPr>
        <b/>
        <sz val="11"/>
        <color rgb="FFFFC000"/>
        <rFont val="等线"/>
        <family val="3"/>
        <charset val="134"/>
        <scheme val="minor"/>
      </rPr>
      <t>黄色</t>
    </r>
    <r>
      <rPr>
        <sz val="11"/>
        <color theme="1"/>
        <rFont val="等线"/>
        <family val="2"/>
        <charset val="134"/>
        <scheme val="minor"/>
      </rPr>
      <t xml:space="preserve">是需要万用表测量的参数。
风扇功率指的是两个风扇，所以X2。
</t>
    </r>
    <r>
      <rPr>
        <b/>
        <sz val="11"/>
        <color rgb="FF00B0F0"/>
        <rFont val="等线"/>
        <family val="3"/>
        <charset val="134"/>
        <scheme val="minor"/>
      </rPr>
      <t>蓝色</t>
    </r>
    <r>
      <rPr>
        <sz val="11"/>
        <color theme="1"/>
        <rFont val="等线"/>
        <family val="2"/>
        <charset val="134"/>
        <scheme val="minor"/>
      </rPr>
      <t xml:space="preserve">是需要指定的参数，就是你实际使用的电阻值。
根据实验，无论如何设定电阻比例，风扇的DCDC芯片最大只可以输出23.2V。
</t>
    </r>
    <r>
      <rPr>
        <sz val="11"/>
        <color rgb="FFFF0000"/>
        <rFont val="等线"/>
        <family val="3"/>
        <charset val="134"/>
        <scheme val="minor"/>
      </rPr>
      <t>功率裕量变红说明配置无法正常运行。</t>
    </r>
    <r>
      <rPr>
        <sz val="11"/>
        <color theme="1"/>
        <rFont val="等线"/>
        <family val="2"/>
        <charset val="134"/>
        <scheme val="minor"/>
      </rPr>
      <t xml:space="preserve">
MCU消耗功率指定为0.36瓦（12VX0.036A），包括STLINK在内。
假设TEC的DCDC有90%效率。
电源功率是你的ACDC适配器功率，这里以12V3A为准，建议买稍微大一点的，比如4A。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</si>
</sst>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F0EA-E5CB-4BD1-B98A-DAD66969EA44}">
  <dimension ref="A1:J13"/>
  <sheetViews>
    <sheetView tabSelected="1" zoomScale="130" zoomScaleNormal="130" workbookViewId="0">
      <selection activeCell="G13" sqref="G13"/>
    </sheetView>
  </sheetViews>
  <sheetFormatPr defaultRowHeight="13.8" x14ac:dyDescent="0.25"/>
  <cols>
    <col min="1" max="2" width="15" customWidth="1"/>
    <col min="3" max="3" width="14.77734375" customWidth="1"/>
    <col min="4" max="4" width="20.44140625" customWidth="1"/>
    <col min="5" max="5" width="20" style="1" customWidth="1"/>
    <col min="6" max="6" width="26" style="1" customWidth="1"/>
    <col min="7" max="7" width="15.33203125" customWidth="1"/>
    <col min="8" max="8" width="16.21875" customWidth="1"/>
    <col min="9" max="9" width="11.109375" customWidth="1"/>
    <col min="10" max="10" width="10.6640625" customWidth="1"/>
    <col min="11" max="11" width="11" customWidth="1"/>
  </cols>
  <sheetData>
    <row r="1" spans="1:10" x14ac:dyDescent="0.25">
      <c r="A1" s="1" t="s">
        <v>5</v>
      </c>
      <c r="B1" s="4" t="s">
        <v>6</v>
      </c>
      <c r="C1" s="1" t="s">
        <v>8</v>
      </c>
      <c r="D1" s="1" t="s">
        <v>9</v>
      </c>
      <c r="E1" s="1" t="s">
        <v>12</v>
      </c>
      <c r="F1" s="1" t="s">
        <v>10</v>
      </c>
      <c r="G1" s="1" t="s">
        <v>11</v>
      </c>
      <c r="H1" s="1"/>
      <c r="I1" s="1"/>
      <c r="J1" s="1"/>
    </row>
    <row r="2" spans="1:10" x14ac:dyDescent="0.25">
      <c r="A2" s="1">
        <v>36</v>
      </c>
      <c r="B2" s="7">
        <v>2.2999999999999998</v>
      </c>
      <c r="C2" s="1">
        <f>D6/B2*D6</f>
        <v>28.856734308264613</v>
      </c>
      <c r="D2" s="1">
        <f>F2*G2</f>
        <v>1.1599999999999999</v>
      </c>
      <c r="E2" s="1">
        <v>0.36</v>
      </c>
      <c r="F2" s="1">
        <v>23.2</v>
      </c>
      <c r="G2" s="1">
        <v>0.05</v>
      </c>
      <c r="H2" s="1"/>
      <c r="I2" s="1"/>
      <c r="J2" s="1"/>
    </row>
    <row r="3" spans="1:10" x14ac:dyDescent="0.25">
      <c r="A3" s="1"/>
      <c r="B3" s="1"/>
      <c r="C3" s="1"/>
      <c r="D3" s="1"/>
      <c r="G3" s="1"/>
      <c r="H3" s="1"/>
      <c r="I3" s="1"/>
      <c r="J3" s="1"/>
    </row>
    <row r="4" spans="1:10" x14ac:dyDescent="0.25">
      <c r="A4" s="1"/>
      <c r="B4" s="1"/>
      <c r="C4" s="1"/>
      <c r="D4" s="1"/>
      <c r="G4" s="1"/>
      <c r="H4" s="1"/>
      <c r="I4" s="1"/>
      <c r="J4" s="1"/>
    </row>
    <row r="5" spans="1:10" s="5" customFormat="1" x14ac:dyDescent="0.25">
      <c r="A5" s="4" t="s">
        <v>2</v>
      </c>
      <c r="B5" s="4" t="s">
        <v>4</v>
      </c>
      <c r="C5" s="4" t="s">
        <v>3</v>
      </c>
      <c r="D5" s="4" t="s">
        <v>7</v>
      </c>
      <c r="E5" s="4" t="s">
        <v>13</v>
      </c>
      <c r="F5" s="4" t="s">
        <v>1</v>
      </c>
      <c r="G5" s="1"/>
      <c r="H5" s="1"/>
      <c r="I5" s="4"/>
    </row>
    <row r="6" spans="1:10" s="5" customFormat="1" x14ac:dyDescent="0.25">
      <c r="A6" s="4">
        <v>0.7</v>
      </c>
      <c r="B6" s="2">
        <v>100</v>
      </c>
      <c r="C6" s="2">
        <v>9.4</v>
      </c>
      <c r="D6" s="4">
        <f>MIN((B6/C6+1)*0.7, 12)</f>
        <v>8.1468085106382979</v>
      </c>
      <c r="E6" s="4">
        <f>C2+D2+E2</f>
        <v>30.376734308264613</v>
      </c>
      <c r="F6" s="4">
        <f>A2*0.9-E6</f>
        <v>2.0232656917353857</v>
      </c>
      <c r="H6" s="4"/>
      <c r="I6" s="4"/>
    </row>
    <row r="8" spans="1:10" x14ac:dyDescent="0.25">
      <c r="A8" s="1"/>
      <c r="B8" s="3" t="s">
        <v>0</v>
      </c>
      <c r="C8" s="3"/>
      <c r="D8" s="3"/>
      <c r="E8" s="3"/>
      <c r="F8" s="3"/>
      <c r="G8" s="1"/>
      <c r="H8" s="1"/>
      <c r="I8" s="1"/>
      <c r="J8" s="1"/>
    </row>
    <row r="9" spans="1:10" x14ac:dyDescent="0.25">
      <c r="A9" s="1"/>
      <c r="B9" s="3"/>
      <c r="C9" s="3"/>
      <c r="D9" s="3"/>
      <c r="E9" s="3"/>
      <c r="F9" s="3"/>
      <c r="G9" s="1"/>
      <c r="H9" s="1"/>
      <c r="I9" s="1"/>
      <c r="J9" s="1"/>
    </row>
    <row r="10" spans="1:10" x14ac:dyDescent="0.25">
      <c r="B10" s="6" t="s">
        <v>14</v>
      </c>
      <c r="C10" s="3"/>
      <c r="D10" s="3"/>
      <c r="E10" s="3"/>
      <c r="F10" s="3"/>
    </row>
    <row r="11" spans="1:10" x14ac:dyDescent="0.25">
      <c r="B11" s="3"/>
      <c r="C11" s="3"/>
      <c r="D11" s="3"/>
      <c r="E11" s="3"/>
      <c r="F11" s="3"/>
    </row>
    <row r="12" spans="1:10" x14ac:dyDescent="0.25">
      <c r="B12" s="3"/>
      <c r="C12" s="3"/>
      <c r="D12" s="3"/>
      <c r="E12" s="3"/>
      <c r="F12" s="3"/>
    </row>
    <row r="13" spans="1:10" ht="117" customHeight="1" x14ac:dyDescent="0.25">
      <c r="B13" s="3"/>
      <c r="C13" s="3"/>
      <c r="D13" s="3"/>
      <c r="E13" s="3"/>
      <c r="F13" s="3"/>
    </row>
  </sheetData>
  <mergeCells count="2">
    <mergeCell ref="B8:F9"/>
    <mergeCell ref="B10:F13"/>
  </mergeCells>
  <phoneticPr fontId="1" type="noConversion"/>
  <conditionalFormatting sqref="F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大爷 你</dc:creator>
  <cp:lastModifiedBy>大爷 你</cp:lastModifiedBy>
  <dcterms:created xsi:type="dcterms:W3CDTF">2025-04-10T05:13:04Z</dcterms:created>
  <dcterms:modified xsi:type="dcterms:W3CDTF">2026-04-03T07:00:24Z</dcterms:modified>
</cp:coreProperties>
</file>